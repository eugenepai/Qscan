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88d59eb7980e77d/QRCode reader/Code/Github/Qscan/"/>
    </mc:Choice>
  </mc:AlternateContent>
  <xr:revisionPtr revIDLastSave="2" documentId="13_ncr:1_{D7F0CAC1-3024-4BDD-9B1D-E4DACDE76D31}" xr6:coauthVersionLast="47" xr6:coauthVersionMax="47" xr10:uidLastSave="{56EC1CDB-A2B6-49DD-B7AC-9DB9803B7E3F}"/>
  <bookViews>
    <workbookView xWindow="-110" yWindow="-110" windowWidth="17500" windowHeight="11020" xr2:uid="{00000000-000D-0000-FFFF-FFFF00000000}"/>
  </bookViews>
  <sheets>
    <sheet name="Sheet1" sheetId="1" r:id="rId1"/>
    <sheet name="工作表1" sheetId="2" r:id="rId2"/>
  </sheets>
  <definedNames>
    <definedName name="_xlnm.Print_Area" localSheetId="0">Sheet1!$A$1:$U$10</definedName>
    <definedName name="_xlnm.Print_Titles" localSheetId="0">Sheet1!$1:$1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1" i="1" l="1"/>
  <c r="T2" i="1"/>
  <c r="T7" i="1"/>
  <c r="T8" i="1"/>
  <c r="T9" i="1"/>
  <c r="T10" i="1"/>
  <c r="T3" i="1"/>
  <c r="T4" i="1"/>
  <c r="T5" i="1"/>
  <c r="T6" i="1"/>
</calcChain>
</file>

<file path=xl/sharedStrings.xml><?xml version="1.0" encoding="utf-8"?>
<sst xmlns="http://schemas.openxmlformats.org/spreadsheetml/2006/main" count="132" uniqueCount="66">
  <si>
    <t>https://www.tpisoftware.com/tpu/articleDetails/1128</t>
    <phoneticPr fontId="1" type="noConversion"/>
  </si>
  <si>
    <t>底稿編號</t>
  </si>
  <si>
    <t>底稿序號</t>
  </si>
  <si>
    <t>品號</t>
  </si>
  <si>
    <t>品名</t>
  </si>
  <si>
    <t>規格</t>
  </si>
  <si>
    <t>庫別代號</t>
  </si>
  <si>
    <t>庫別名稱</t>
  </si>
  <si>
    <t>單位</t>
  </si>
  <si>
    <t>小單位</t>
  </si>
  <si>
    <t>包裝單位</t>
  </si>
  <si>
    <t>批號</t>
  </si>
  <si>
    <t>儲存位置</t>
  </si>
  <si>
    <t>初盤數量</t>
  </si>
  <si>
    <t>複盤數量</t>
  </si>
  <si>
    <t>盤點數量</t>
  </si>
  <si>
    <t>帳面數量</t>
  </si>
  <si>
    <t>盤點包裝數量</t>
  </si>
  <si>
    <t>帳面包裝數量</t>
  </si>
  <si>
    <t>備註</t>
  </si>
  <si>
    <t>11009M</t>
  </si>
  <si>
    <t>00001</t>
  </si>
  <si>
    <t>201611361NY_10000A</t>
    <phoneticPr fontId="4" type="noConversion"/>
  </si>
  <si>
    <t>PANCURE-1361-NY-1(CD-R Lacquer)</t>
  </si>
  <si>
    <t>0000</t>
  </si>
  <si>
    <t>1M0</t>
  </si>
  <si>
    <t>現場製1倉</t>
  </si>
  <si>
    <t>KG</t>
  </si>
  <si>
    <t>215219(3)</t>
    <phoneticPr fontId="4" type="noConversion"/>
  </si>
  <si>
    <t>____________</t>
  </si>
  <si>
    <t>00002</t>
  </si>
  <si>
    <t>201611380N-100200A</t>
  </si>
  <si>
    <t>PANCURE-1380N-1(CD-R Lacquer)</t>
  </si>
  <si>
    <t>(2)</t>
  </si>
  <si>
    <t>214269</t>
  </si>
  <si>
    <t>00003</t>
  </si>
  <si>
    <t>20165155000000402A</t>
  </si>
  <si>
    <t>PANCURE-1550(DVDR Bonding glue</t>
  </si>
  <si>
    <t>(4-2)</t>
  </si>
  <si>
    <t>212021</t>
  </si>
  <si>
    <t>00004</t>
  </si>
  <si>
    <t>20165157-26H00000A</t>
  </si>
  <si>
    <t>PANCURE-1570-26H(DVD Bonding Glue)</t>
  </si>
  <si>
    <t>215358</t>
  </si>
  <si>
    <t>00005</t>
  </si>
  <si>
    <t>20165157-50TY0000A</t>
  </si>
  <si>
    <t>PANCURE-1570-50TY(DVD Bonding Glue)</t>
  </si>
  <si>
    <t>211212</t>
  </si>
  <si>
    <t>00006</t>
  </si>
  <si>
    <t>20204EG154H000000A</t>
  </si>
  <si>
    <t>PBEG-154H(CLEAR)</t>
  </si>
  <si>
    <t>198149</t>
  </si>
  <si>
    <t>00007</t>
  </si>
  <si>
    <t>20204EG158H000000A</t>
  </si>
  <si>
    <t>PBEG-158H(CLEAR)</t>
  </si>
  <si>
    <t>197162</t>
  </si>
  <si>
    <t>00008</t>
  </si>
  <si>
    <t>20204EG159H000200A</t>
  </si>
  <si>
    <t>PBEG-159H(CLEAR)</t>
  </si>
  <si>
    <t>197163</t>
  </si>
  <si>
    <t>00009</t>
  </si>
  <si>
    <t>20204PDG145H00200A</t>
  </si>
  <si>
    <t>PDG-145H(CLEAR)</t>
  </si>
  <si>
    <t>197161</t>
  </si>
  <si>
    <t>QR_Code</t>
    <phoneticPr fontId="1" type="noConversion"/>
  </si>
  <si>
    <t>QR_Code_Text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</si>
</sst>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sz val="9"/>
      <color rgb="FF000000"/>
      <name val="Times New Roman"/>
      <family val="1"/>
    </font>
    <font>
      <sz val="9"/>
      <name val="細明體"/>
      <family val="3"/>
      <charset val="136"/>
    </font>
    <font>
      <sz val="9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0FFFF"/>
      </patternFill>
    </fill>
    <fill>
      <patternFill patternType="solid">
        <fgColor rgb="FFFFFFFF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1"/>
    <xf numFmtId="0" fontId="0" fillId="0" borderId="0" xfId="0" applyAlignment="1">
      <alignment vertical="top"/>
    </xf>
    <xf numFmtId="0" fontId="3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right" vertical="top" wrapText="1"/>
    </xf>
    <xf numFmtId="0" fontId="5" fillId="2" borderId="1" xfId="0" applyFont="1" applyFill="1" applyBorder="1" applyAlignment="1">
      <alignment horizontal="left" vertical="top" wrapText="1"/>
    </xf>
  </cellXfs>
  <cellStyles count="2">
    <cellStyle name="超連結" xfId="1" builtinId="8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https://chart.googleapis.com/chart?chs=250x250&amp;cht=qr&amp;chl=%2020204EG158H000000APBEG-158H(CLEAR)0000&#29694;&#22580;&#35069;1&#20489;1971626.625" TargetMode="External"/><Relationship Id="rId3" Type="http://schemas.openxmlformats.org/officeDocument/2006/relationships/image" Target="https://chart.googleapis.com/chart?chs=250x250&amp;cht=qr&amp;chl=%20201611380N-100200APANCURE-1380N-1(CD-R%20Lacquer)(2)&#29694;&#22580;&#35069;1&#20489;2142693.292" TargetMode="External"/><Relationship Id="rId7" Type="http://schemas.openxmlformats.org/officeDocument/2006/relationships/image" Target="https://chart.googleapis.com/chart?chs=250x250&amp;cht=qr&amp;chl=%2020204EG154H000000APBEG-154H(CLEAR)0000&#29694;&#22580;&#35069;1&#20489;1981492.48" TargetMode="External"/><Relationship Id="rId2" Type="http://schemas.openxmlformats.org/officeDocument/2006/relationships/image" Target="https://chart.googleapis.com/chart?chs=250x250&amp;cht=qr&amp;chl=%20201611361NY_10000APANCURE-1361-NY-1(CD-R%20Lacquer)0000&#29694;&#22580;&#35069;1&#20489;215219(3)5.85" TargetMode="External"/><Relationship Id="rId1" Type="http://schemas.openxmlformats.org/officeDocument/2006/relationships/image" Target="https://chart.googleapis.com/chart?chs=250x250&amp;cht=qr&amp;chl=%201235A,%20&#28204;&#35430;&#21697;&#21517;,%20217567,%20kg,%2012345" TargetMode="External"/><Relationship Id="rId6" Type="http://schemas.openxmlformats.org/officeDocument/2006/relationships/image" Target="https://chart.googleapis.com/chart?chs=250x250&amp;cht=qr&amp;chl=%2020165157-50TY0000APANCURE-1570-50TY(DVD%20Bonding%20Glue)0000&#29694;&#22580;&#35069;1&#20489;2112124.84" TargetMode="External"/><Relationship Id="rId5" Type="http://schemas.openxmlformats.org/officeDocument/2006/relationships/image" Target="https://chart.googleapis.com/chart?chs=250x250&amp;cht=qr&amp;chl=%2020165157-26H00000APANCURE-1570-26H(DVD%20Bonding%20Glue)0000&#29694;&#22580;&#35069;1&#20489;2153589.24" TargetMode="External"/><Relationship Id="rId10" Type="http://schemas.openxmlformats.org/officeDocument/2006/relationships/image" Target="https://chart.googleapis.com/chart?chs=250x250&amp;cht=qr&amp;chl=%2020204PDG145H00200APDG-145H(CLEAR)(2)&#29694;&#22580;&#35069;1&#20489;1971614.319" TargetMode="External"/><Relationship Id="rId4" Type="http://schemas.openxmlformats.org/officeDocument/2006/relationships/image" Target="https://chart.googleapis.com/chart?chs=250x250&amp;cht=qr&amp;chl=%2020165155000000402APANCURE-1550(DVDR%20Bonding%20glue(4-2)&#29694;&#22580;&#35069;1&#20489;2120212.341" TargetMode="External"/><Relationship Id="rId9" Type="http://schemas.openxmlformats.org/officeDocument/2006/relationships/image" Target="https://chart.googleapis.com/chart?chs=250x250&amp;cht=qr&amp;chl=%2020204EG159H000200APBEG-159H(CLEAR)(2)&#29694;&#22580;&#35069;1&#20489;1971635.944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</xdr:row>
      <xdr:rowOff>0</xdr:rowOff>
    </xdr:from>
    <xdr:to>
      <xdr:col>11</xdr:col>
      <xdr:colOff>0</xdr:colOff>
      <xdr:row>3</xdr:row>
      <xdr:rowOff>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6EC20ACE-7A3C-4BB0-AF1F-2A3557F46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867650" y="641350"/>
          <a:ext cx="0" cy="0"/>
        </a:xfrm>
        <a:prstGeom prst="rect">
          <a:avLst/>
        </a:prstGeom>
      </xdr:spPr>
    </xdr:pic>
    <xdr:clientData/>
  </xdr:twoCellAnchor>
  <xdr:twoCellAnchor>
    <xdr:from>
      <xdr:col>19</xdr:col>
      <xdr:colOff>126999</xdr:colOff>
      <xdr:row>0</xdr:row>
      <xdr:rowOff>374205</xdr:rowOff>
    </xdr:from>
    <xdr:to>
      <xdr:col>19</xdr:col>
      <xdr:colOff>509033</xdr:colOff>
      <xdr:row>0</xdr:row>
      <xdr:rowOff>627530</xdr:rowOff>
    </xdr:to>
    <xdr:sp macro="[0]!qrcode" textlink="">
      <xdr:nvSpPr>
        <xdr:cNvPr id="54" name="矩形 53">
          <a:extLst>
            <a:ext uri="{FF2B5EF4-FFF2-40B4-BE49-F238E27FC236}">
              <a16:creationId xmlns:a16="http://schemas.microsoft.com/office/drawing/2014/main" id="{4AC7276E-EDE5-4C39-9C9C-C54EA98C0D54}"/>
            </a:ext>
          </a:extLst>
        </xdr:cNvPr>
        <xdr:cNvSpPr/>
      </xdr:nvSpPr>
      <xdr:spPr>
        <a:xfrm>
          <a:off x="8008470" y="374205"/>
          <a:ext cx="382034" cy="253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20</xdr:col>
      <xdr:colOff>25401</xdr:colOff>
      <xdr:row>1</xdr:row>
      <xdr:rowOff>25401</xdr:rowOff>
    </xdr:from>
    <xdr:to>
      <xdr:col>20</xdr:col>
      <xdr:colOff>1266878</xdr:colOff>
      <xdr:row>2</xdr:row>
      <xdr:rowOff>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A8AF1B8-A0E1-4E67-8A2B-4E51D3382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572501" y="72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2</xdr:row>
      <xdr:rowOff>25401</xdr:rowOff>
    </xdr:from>
    <xdr:to>
      <xdr:col>20</xdr:col>
      <xdr:colOff>1266878</xdr:colOff>
      <xdr:row>3</xdr:row>
      <xdr:rowOff>1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A9B09B64-E8C7-4700-B097-7401A774D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572501" y="199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3</xdr:row>
      <xdr:rowOff>25401</xdr:rowOff>
    </xdr:from>
    <xdr:to>
      <xdr:col>20</xdr:col>
      <xdr:colOff>1266878</xdr:colOff>
      <xdr:row>4</xdr:row>
      <xdr:rowOff>1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F9BF1D60-DF6C-45AA-80F6-823A7DAD3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8572501" y="326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4</xdr:row>
      <xdr:rowOff>25401</xdr:rowOff>
    </xdr:from>
    <xdr:to>
      <xdr:col>20</xdr:col>
      <xdr:colOff>1266878</xdr:colOff>
      <xdr:row>5</xdr:row>
      <xdr:rowOff>1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FC667154-55D2-40DE-BCB0-5C3636265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8572501" y="453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5</xdr:row>
      <xdr:rowOff>25401</xdr:rowOff>
    </xdr:from>
    <xdr:to>
      <xdr:col>20</xdr:col>
      <xdr:colOff>1266878</xdr:colOff>
      <xdr:row>6</xdr:row>
      <xdr:rowOff>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5D9AF09-42CE-4569-B07D-E30D3D1C2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8572501" y="580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6</xdr:row>
      <xdr:rowOff>25401</xdr:rowOff>
    </xdr:from>
    <xdr:to>
      <xdr:col>20</xdr:col>
      <xdr:colOff>1266878</xdr:colOff>
      <xdr:row>7</xdr:row>
      <xdr:rowOff>1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3142B7D0-81FD-41F2-845B-18BC9888B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8572501" y="707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7</xdr:row>
      <xdr:rowOff>25401</xdr:rowOff>
    </xdr:from>
    <xdr:to>
      <xdr:col>20</xdr:col>
      <xdr:colOff>1266878</xdr:colOff>
      <xdr:row>8</xdr:row>
      <xdr:rowOff>1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1FA5C467-CC5D-483A-BB60-43509A13A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572501" y="834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8</xdr:row>
      <xdr:rowOff>25401</xdr:rowOff>
    </xdr:from>
    <xdr:to>
      <xdr:col>20</xdr:col>
      <xdr:colOff>1266878</xdr:colOff>
      <xdr:row>9</xdr:row>
      <xdr:rowOff>1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8F646C09-589F-4AD9-B896-A5EC69DAF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572501" y="961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9</xdr:row>
      <xdr:rowOff>25401</xdr:rowOff>
    </xdr:from>
    <xdr:to>
      <xdr:col>20</xdr:col>
      <xdr:colOff>1266878</xdr:colOff>
      <xdr:row>10</xdr:row>
      <xdr:rowOff>1</xdr:rowOff>
    </xdr:to>
    <xdr:pic>
      <xdr:nvPicPr>
        <xdr:cNvPr id="26" name="圖片 25">
          <a:extLst>
            <a:ext uri="{FF2B5EF4-FFF2-40B4-BE49-F238E27FC236}">
              <a16:creationId xmlns:a16="http://schemas.microsoft.com/office/drawing/2014/main" id="{63AC24E9-F75C-4116-92E1-A14D348B3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572501" y="10883901"/>
          <a:ext cx="1241477" cy="1244600"/>
        </a:xfrm>
        <a:prstGeom prst="rect">
          <a:avLst/>
        </a:prstGeom>
      </xdr:spPr>
    </xdr:pic>
    <xdr:clientData/>
  </xdr:twoCellAnchor>
  <xdr:twoCellAnchor>
    <xdr:from>
      <xdr:col>20</xdr:col>
      <xdr:colOff>25401</xdr:colOff>
      <xdr:row>10</xdr:row>
      <xdr:rowOff>25401</xdr:rowOff>
    </xdr:from>
    <xdr:to>
      <xdr:col>20</xdr:col>
      <xdr:colOff>1266878</xdr:colOff>
      <xdr:row>11</xdr:row>
      <xdr:rowOff>1</xdr:rowOff>
    </xdr:to>
    <xdr:pic>
      <xdr:nvPicPr>
        <xdr:cNvPr id="28" name="圖片 27">
          <a:extLst>
            <a:ext uri="{FF2B5EF4-FFF2-40B4-BE49-F238E27FC236}">
              <a16:creationId xmlns:a16="http://schemas.microsoft.com/office/drawing/2014/main" id="{7C2F03A7-C624-4CF4-A200-F84612FBF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572501" y="12153901"/>
          <a:ext cx="1241477" cy="1244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pisoftware.com/tpu/articleDetails/112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pageSetUpPr fitToPage="1"/>
  </sheetPr>
  <dimension ref="A1:U11"/>
  <sheetViews>
    <sheetView showGridLines="0" tabSelected="1" zoomScale="85" zoomScaleNormal="85" workbookViewId="0">
      <pane ySplit="1" topLeftCell="A8" activePane="bottomLeft" state="frozen"/>
      <selection pane="bottomLeft" activeCell="V3" sqref="V3"/>
    </sheetView>
  </sheetViews>
  <sheetFormatPr defaultRowHeight="14.5" x14ac:dyDescent="0.3"/>
  <cols>
    <col min="1" max="2" width="8.59765625" style="2" bestFit="1" customWidth="1"/>
    <col min="3" max="3" width="10.19921875" style="2" bestFit="1" customWidth="1"/>
    <col min="4" max="4" width="12.09765625" style="2" bestFit="1" customWidth="1"/>
    <col min="5" max="5" width="5" style="2" bestFit="1" customWidth="1"/>
    <col min="6" max="6" width="8.59765625" style="2" bestFit="1" customWidth="1"/>
    <col min="7" max="7" width="9.5" style="2" bestFit="1" customWidth="1"/>
    <col min="8" max="8" width="5" style="2" bestFit="1" customWidth="1"/>
    <col min="9" max="9" width="6.796875" style="2" hidden="1" customWidth="1"/>
    <col min="10" max="10" width="8.59765625" style="2" hidden="1" customWidth="1"/>
    <col min="11" max="11" width="8.296875" style="2" bestFit="1" customWidth="1"/>
    <col min="12" max="16" width="8.59765625" style="2" bestFit="1" customWidth="1"/>
    <col min="17" max="18" width="8.59765625" style="2" hidden="1" customWidth="1"/>
    <col min="19" max="19" width="5" style="2" bestFit="1" customWidth="1"/>
    <col min="20" max="20" width="10.69921875" style="2" customWidth="1"/>
    <col min="21" max="21" width="20.69921875" style="2" customWidth="1"/>
    <col min="22" max="16384" width="8.796875" style="2"/>
  </cols>
  <sheetData>
    <row r="1" spans="1:21" ht="55" customHeight="1" x14ac:dyDescent="0.3">
      <c r="A1" s="3" t="s">
        <v>1</v>
      </c>
      <c r="B1" s="3" t="s">
        <v>2</v>
      </c>
      <c r="C1" s="6" t="s">
        <v>3</v>
      </c>
      <c r="D1" s="6" t="s">
        <v>4</v>
      </c>
      <c r="E1" s="6" t="s">
        <v>5</v>
      </c>
      <c r="F1" s="3" t="s">
        <v>6</v>
      </c>
      <c r="G1" s="6" t="s">
        <v>7</v>
      </c>
      <c r="H1" s="3" t="s">
        <v>8</v>
      </c>
      <c r="I1" s="3" t="s">
        <v>9</v>
      </c>
      <c r="J1" s="3" t="s">
        <v>10</v>
      </c>
      <c r="K1" s="6" t="s">
        <v>11</v>
      </c>
      <c r="L1" s="3" t="s">
        <v>12</v>
      </c>
      <c r="M1" s="3" t="s">
        <v>13</v>
      </c>
      <c r="N1" s="3" t="s">
        <v>14</v>
      </c>
      <c r="O1" s="3" t="s">
        <v>15</v>
      </c>
      <c r="P1" s="6" t="s">
        <v>16</v>
      </c>
      <c r="Q1" s="3" t="s">
        <v>17</v>
      </c>
      <c r="R1" s="3" t="s">
        <v>18</v>
      </c>
      <c r="S1" s="3" t="s">
        <v>19</v>
      </c>
      <c r="T1" s="3" t="s">
        <v>65</v>
      </c>
      <c r="U1" s="3" t="s">
        <v>64</v>
      </c>
    </row>
    <row r="2" spans="1:21" ht="100" customHeight="1" x14ac:dyDescent="0.3">
      <c r="A2" s="4" t="s">
        <v>20</v>
      </c>
      <c r="B2" s="4" t="s">
        <v>21</v>
      </c>
      <c r="C2" s="4" t="s">
        <v>22</v>
      </c>
      <c r="D2" s="4" t="s">
        <v>23</v>
      </c>
      <c r="E2" s="4" t="s">
        <v>24</v>
      </c>
      <c r="F2" s="4" t="s">
        <v>25</v>
      </c>
      <c r="G2" s="4" t="s">
        <v>26</v>
      </c>
      <c r="H2" s="4" t="s">
        <v>27</v>
      </c>
      <c r="I2" s="4"/>
      <c r="J2" s="4"/>
      <c r="K2" s="4" t="s">
        <v>28</v>
      </c>
      <c r="L2" s="4"/>
      <c r="M2" s="4" t="s">
        <v>29</v>
      </c>
      <c r="N2" s="4" t="s">
        <v>29</v>
      </c>
      <c r="O2" s="5">
        <v>5.8579999999999997</v>
      </c>
      <c r="P2" s="5">
        <v>5.85</v>
      </c>
      <c r="Q2" s="5">
        <v>0</v>
      </c>
      <c r="R2" s="5">
        <v>0</v>
      </c>
      <c r="S2" s="4"/>
      <c r="T2" s="4" t="str">
        <f>CONCATENATE(C2,D2,E2,G2,K2,P2)</f>
        <v>201611361NY_10000APANCURE-1361-NY-1(CD-R Lacquer)0000現場製1倉215219(3)5.85</v>
      </c>
      <c r="U2" s="4"/>
    </row>
    <row r="3" spans="1:21" ht="100" customHeight="1" x14ac:dyDescent="0.3">
      <c r="A3" s="4" t="s">
        <v>20</v>
      </c>
      <c r="B3" s="4" t="s">
        <v>30</v>
      </c>
      <c r="C3" s="4" t="s">
        <v>31</v>
      </c>
      <c r="D3" s="4" t="s">
        <v>32</v>
      </c>
      <c r="E3" s="4" t="s">
        <v>33</v>
      </c>
      <c r="F3" s="4" t="s">
        <v>25</v>
      </c>
      <c r="G3" s="4" t="s">
        <v>26</v>
      </c>
      <c r="H3" s="4" t="s">
        <v>27</v>
      </c>
      <c r="I3" s="4"/>
      <c r="J3" s="4"/>
      <c r="K3" s="4" t="s">
        <v>34</v>
      </c>
      <c r="L3" s="4"/>
      <c r="M3" s="4" t="s">
        <v>29</v>
      </c>
      <c r="N3" s="4" t="s">
        <v>29</v>
      </c>
      <c r="O3" s="5">
        <v>3.2360000000000002</v>
      </c>
      <c r="P3" s="5">
        <v>3.2919999999999998</v>
      </c>
      <c r="Q3" s="5">
        <v>0</v>
      </c>
      <c r="R3" s="5">
        <v>0</v>
      </c>
      <c r="S3" s="4"/>
      <c r="T3" s="4" t="str">
        <f t="shared" ref="T3:T10" si="0">CONCATENATE(C3,D3,E3,G3,K3,P3)</f>
        <v>201611380N-100200APANCURE-1380N-1(CD-R Lacquer)(2)現場製1倉2142693.292</v>
      </c>
      <c r="U3" s="4"/>
    </row>
    <row r="4" spans="1:21" ht="100" customHeight="1" x14ac:dyDescent="0.3">
      <c r="A4" s="4" t="s">
        <v>20</v>
      </c>
      <c r="B4" s="4" t="s">
        <v>35</v>
      </c>
      <c r="C4" s="4" t="s">
        <v>36</v>
      </c>
      <c r="D4" s="4" t="s">
        <v>37</v>
      </c>
      <c r="E4" s="4" t="s">
        <v>38</v>
      </c>
      <c r="F4" s="4" t="s">
        <v>25</v>
      </c>
      <c r="G4" s="4" t="s">
        <v>26</v>
      </c>
      <c r="H4" s="4" t="s">
        <v>27</v>
      </c>
      <c r="I4" s="4"/>
      <c r="J4" s="4"/>
      <c r="K4" s="4" t="s">
        <v>39</v>
      </c>
      <c r="L4" s="4"/>
      <c r="M4" s="4" t="s">
        <v>29</v>
      </c>
      <c r="N4" s="4" t="s">
        <v>29</v>
      </c>
      <c r="O4" s="5">
        <v>2.3039999999999998</v>
      </c>
      <c r="P4" s="5">
        <v>2.3410000000000002</v>
      </c>
      <c r="Q4" s="5">
        <v>0</v>
      </c>
      <c r="R4" s="5">
        <v>0</v>
      </c>
      <c r="S4" s="4"/>
      <c r="T4" s="4" t="str">
        <f t="shared" si="0"/>
        <v>20165155000000402APANCURE-1550(DVDR Bonding glue(4-2)現場製1倉2120212.341</v>
      </c>
      <c r="U4" s="4"/>
    </row>
    <row r="5" spans="1:21" ht="100" customHeight="1" x14ac:dyDescent="0.3">
      <c r="A5" s="4" t="s">
        <v>20</v>
      </c>
      <c r="B5" s="4" t="s">
        <v>40</v>
      </c>
      <c r="C5" s="4" t="s">
        <v>41</v>
      </c>
      <c r="D5" s="4" t="s">
        <v>42</v>
      </c>
      <c r="E5" s="4" t="s">
        <v>24</v>
      </c>
      <c r="F5" s="4" t="s">
        <v>25</v>
      </c>
      <c r="G5" s="4" t="s">
        <v>26</v>
      </c>
      <c r="H5" s="4" t="s">
        <v>27</v>
      </c>
      <c r="I5" s="4"/>
      <c r="J5" s="4"/>
      <c r="K5" s="4" t="s">
        <v>43</v>
      </c>
      <c r="L5" s="4"/>
      <c r="M5" s="4" t="s">
        <v>29</v>
      </c>
      <c r="N5" s="4" t="s">
        <v>29</v>
      </c>
      <c r="O5" s="5">
        <v>9.2040000000000006</v>
      </c>
      <c r="P5" s="5">
        <v>9.24</v>
      </c>
      <c r="Q5" s="5">
        <v>0</v>
      </c>
      <c r="R5" s="5">
        <v>0</v>
      </c>
      <c r="S5" s="4"/>
      <c r="T5" s="4" t="str">
        <f t="shared" si="0"/>
        <v>20165157-26H00000APANCURE-1570-26H(DVD Bonding Glue)0000現場製1倉2153589.24</v>
      </c>
      <c r="U5" s="4"/>
    </row>
    <row r="6" spans="1:21" ht="100" customHeight="1" x14ac:dyDescent="0.3">
      <c r="A6" s="4" t="s">
        <v>20</v>
      </c>
      <c r="B6" s="4" t="s">
        <v>44</v>
      </c>
      <c r="C6" s="4" t="s">
        <v>45</v>
      </c>
      <c r="D6" s="4" t="s">
        <v>46</v>
      </c>
      <c r="E6" s="4" t="s">
        <v>24</v>
      </c>
      <c r="F6" s="4" t="s">
        <v>25</v>
      </c>
      <c r="G6" s="4" t="s">
        <v>26</v>
      </c>
      <c r="H6" s="4" t="s">
        <v>27</v>
      </c>
      <c r="I6" s="4"/>
      <c r="J6" s="4"/>
      <c r="K6" s="4" t="s">
        <v>47</v>
      </c>
      <c r="L6" s="4"/>
      <c r="M6" s="4" t="s">
        <v>29</v>
      </c>
      <c r="N6" s="4" t="s">
        <v>29</v>
      </c>
      <c r="O6" s="5">
        <v>4.8019999999999996</v>
      </c>
      <c r="P6" s="5">
        <v>4.84</v>
      </c>
      <c r="Q6" s="5">
        <v>0</v>
      </c>
      <c r="R6" s="5">
        <v>0</v>
      </c>
      <c r="S6" s="4"/>
      <c r="T6" s="4" t="str">
        <f t="shared" si="0"/>
        <v>20165157-50TY0000APANCURE-1570-50TY(DVD Bonding Glue)0000現場製1倉2112124.84</v>
      </c>
      <c r="U6" s="4"/>
    </row>
    <row r="7" spans="1:21" ht="100" customHeight="1" x14ac:dyDescent="0.3">
      <c r="A7" s="4" t="s">
        <v>20</v>
      </c>
      <c r="B7" s="4" t="s">
        <v>48</v>
      </c>
      <c r="C7" s="4" t="s">
        <v>49</v>
      </c>
      <c r="D7" s="4" t="s">
        <v>50</v>
      </c>
      <c r="E7" s="4" t="s">
        <v>24</v>
      </c>
      <c r="F7" s="4" t="s">
        <v>25</v>
      </c>
      <c r="G7" s="4" t="s">
        <v>26</v>
      </c>
      <c r="H7" s="4" t="s">
        <v>27</v>
      </c>
      <c r="I7" s="4"/>
      <c r="J7" s="4"/>
      <c r="K7" s="4" t="s">
        <v>51</v>
      </c>
      <c r="L7" s="4"/>
      <c r="M7" s="4" t="s">
        <v>29</v>
      </c>
      <c r="N7" s="4" t="s">
        <v>29</v>
      </c>
      <c r="O7" s="5">
        <v>2.42</v>
      </c>
      <c r="P7" s="5">
        <v>2.48</v>
      </c>
      <c r="Q7" s="5">
        <v>0</v>
      </c>
      <c r="R7" s="5">
        <v>0</v>
      </c>
      <c r="S7" s="4"/>
      <c r="T7" s="4" t="str">
        <f>CONCATENATE(C7,D7,E7,G7,K7,P7)</f>
        <v>20204EG154H000000APBEG-154H(CLEAR)0000現場製1倉1981492.48</v>
      </c>
      <c r="U7" s="4"/>
    </row>
    <row r="8" spans="1:21" ht="100" customHeight="1" x14ac:dyDescent="0.3">
      <c r="A8" s="4" t="s">
        <v>20</v>
      </c>
      <c r="B8" s="4" t="s">
        <v>52</v>
      </c>
      <c r="C8" s="4" t="s">
        <v>53</v>
      </c>
      <c r="D8" s="4" t="s">
        <v>54</v>
      </c>
      <c r="E8" s="4" t="s">
        <v>24</v>
      </c>
      <c r="F8" s="4" t="s">
        <v>25</v>
      </c>
      <c r="G8" s="4" t="s">
        <v>26</v>
      </c>
      <c r="H8" s="4" t="s">
        <v>27</v>
      </c>
      <c r="I8" s="4"/>
      <c r="J8" s="4"/>
      <c r="K8" s="4" t="s">
        <v>55</v>
      </c>
      <c r="L8" s="4"/>
      <c r="M8" s="4" t="s">
        <v>29</v>
      </c>
      <c r="N8" s="4" t="s">
        <v>29</v>
      </c>
      <c r="O8" s="5">
        <v>6.5640000000000001</v>
      </c>
      <c r="P8" s="5">
        <v>6.625</v>
      </c>
      <c r="Q8" s="5">
        <v>0</v>
      </c>
      <c r="R8" s="5">
        <v>0</v>
      </c>
      <c r="S8" s="4"/>
      <c r="T8" s="4" t="str">
        <f t="shared" si="0"/>
        <v>20204EG158H000000APBEG-158H(CLEAR)0000現場製1倉1971626.625</v>
      </c>
      <c r="U8" s="4"/>
    </row>
    <row r="9" spans="1:21" ht="100" customHeight="1" x14ac:dyDescent="0.3">
      <c r="A9" s="4" t="s">
        <v>20</v>
      </c>
      <c r="B9" s="4" t="s">
        <v>56</v>
      </c>
      <c r="C9" s="4" t="s">
        <v>57</v>
      </c>
      <c r="D9" s="4" t="s">
        <v>58</v>
      </c>
      <c r="E9" s="4" t="s">
        <v>33</v>
      </c>
      <c r="F9" s="4" t="s">
        <v>25</v>
      </c>
      <c r="G9" s="4" t="s">
        <v>26</v>
      </c>
      <c r="H9" s="4" t="s">
        <v>27</v>
      </c>
      <c r="I9" s="4"/>
      <c r="J9" s="4"/>
      <c r="K9" s="4" t="s">
        <v>59</v>
      </c>
      <c r="L9" s="4"/>
      <c r="M9" s="4" t="s">
        <v>29</v>
      </c>
      <c r="N9" s="4" t="s">
        <v>29</v>
      </c>
      <c r="O9" s="5">
        <v>5.8819999999999997</v>
      </c>
      <c r="P9" s="5">
        <v>5.944</v>
      </c>
      <c r="Q9" s="5">
        <v>0</v>
      </c>
      <c r="R9" s="5">
        <v>0</v>
      </c>
      <c r="S9" s="4"/>
      <c r="T9" s="4" t="str">
        <f t="shared" si="0"/>
        <v>20204EG159H000200APBEG-159H(CLEAR)(2)現場製1倉1971635.944</v>
      </c>
      <c r="U9" s="4"/>
    </row>
    <row r="10" spans="1:21" ht="100" customHeight="1" x14ac:dyDescent="0.3">
      <c r="A10" s="4" t="s">
        <v>20</v>
      </c>
      <c r="B10" s="4" t="s">
        <v>60</v>
      </c>
      <c r="C10" s="4" t="s">
        <v>61</v>
      </c>
      <c r="D10" s="4" t="s">
        <v>62</v>
      </c>
      <c r="E10" s="4" t="s">
        <v>33</v>
      </c>
      <c r="F10" s="4" t="s">
        <v>25</v>
      </c>
      <c r="G10" s="4" t="s">
        <v>26</v>
      </c>
      <c r="H10" s="4" t="s">
        <v>27</v>
      </c>
      <c r="I10" s="4"/>
      <c r="J10" s="4"/>
      <c r="K10" s="4" t="s">
        <v>63</v>
      </c>
      <c r="L10" s="4"/>
      <c r="M10" s="4" t="s">
        <v>29</v>
      </c>
      <c r="N10" s="4" t="s">
        <v>29</v>
      </c>
      <c r="O10" s="5">
        <v>4.26</v>
      </c>
      <c r="P10" s="5">
        <v>4.319</v>
      </c>
      <c r="Q10" s="5">
        <v>0</v>
      </c>
      <c r="R10" s="5">
        <v>0</v>
      </c>
      <c r="S10" s="4"/>
      <c r="T10" s="4" t="str">
        <f t="shared" si="0"/>
        <v>20204PDG145H00200APDG-145H(CLEAR)(2)現場製1倉1971614.319</v>
      </c>
      <c r="U10" s="4"/>
    </row>
    <row r="11" spans="1:21" ht="100" customHeight="1" x14ac:dyDescent="0.3">
      <c r="A11" s="4" t="s">
        <v>20</v>
      </c>
      <c r="B11" s="4" t="s">
        <v>60</v>
      </c>
      <c r="C11" s="4" t="s">
        <v>61</v>
      </c>
      <c r="D11" s="4" t="s">
        <v>62</v>
      </c>
      <c r="E11" s="4" t="s">
        <v>33</v>
      </c>
      <c r="F11" s="4" t="s">
        <v>25</v>
      </c>
      <c r="G11" s="4" t="s">
        <v>26</v>
      </c>
      <c r="H11" s="4" t="s">
        <v>27</v>
      </c>
      <c r="I11" s="4"/>
      <c r="J11" s="4"/>
      <c r="K11" s="4" t="s">
        <v>63</v>
      </c>
      <c r="L11" s="4"/>
      <c r="M11" s="4" t="s">
        <v>29</v>
      </c>
      <c r="N11" s="4" t="s">
        <v>29</v>
      </c>
      <c r="O11" s="5">
        <v>4.26</v>
      </c>
      <c r="P11" s="5">
        <v>4.319</v>
      </c>
      <c r="Q11" s="5">
        <v>0</v>
      </c>
      <c r="R11" s="5">
        <v>0</v>
      </c>
      <c r="S11" s="4"/>
      <c r="T11" s="4" t="str">
        <f t="shared" ref="T11" si="1">CONCATENATE(C11,D11,E11,G11,K11,P11)</f>
        <v>20204PDG145H00200APDG-145H(CLEAR)(2)現場製1倉1971614.319</v>
      </c>
      <c r="U11" s="4"/>
    </row>
  </sheetData>
  <phoneticPr fontId="1" type="noConversion"/>
  <pageMargins left="0.23622047244094491" right="0.23622047244094491" top="0.74803149606299213" bottom="0.74803149606299213" header="0.31496062992125984" footer="0.31496062992125984"/>
  <pageSetup paperSize="9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7255B-0052-4AF1-840F-E55192330E6F}">
  <sheetPr codeName="工作表2"/>
  <dimension ref="A1"/>
  <sheetViews>
    <sheetView workbookViewId="0">
      <selection activeCell="E10" sqref="E10"/>
    </sheetView>
  </sheetViews>
  <sheetFormatPr defaultRowHeight="14.5" x14ac:dyDescent="0.3"/>
  <sheetData>
    <row r="1" spans="1:1" x14ac:dyDescent="0.3">
      <c r="A1" s="1" t="s">
        <v>0</v>
      </c>
    </row>
  </sheetData>
  <phoneticPr fontId="1" type="noConversion"/>
  <hyperlinks>
    <hyperlink ref="A1" r:id="rId1" xr:uid="{324E6BFF-27EC-4AC8-9739-15C3D87085E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Sheet1</vt:lpstr>
      <vt:lpstr>工作表1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</dc:creator>
  <cp:lastModifiedBy>EP</cp:lastModifiedBy>
  <cp:lastPrinted>2021-08-06T06:47:24Z</cp:lastPrinted>
  <dcterms:created xsi:type="dcterms:W3CDTF">2015-06-05T18:17:20Z</dcterms:created>
  <dcterms:modified xsi:type="dcterms:W3CDTF">2021-08-19T04:07:34Z</dcterms:modified>
</cp:coreProperties>
</file>